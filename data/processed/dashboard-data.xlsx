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Q1_Cancellation_Comparison" sheetId="1" state="visible" r:id="rId3"/>
    <sheet name="Q2_OTP_vs_LoadFactor" sheetId="2" state="visible" r:id="rId4"/>
    <sheet name="References" sheetId="3" state="visible" r:id="rId5"/>
    <sheet name="Q3_Worst_Delay_Routes" sheetId="4" state="visible" r:id="rId6"/>
    <sheet name="Q4_Crew_Retention" sheetId="5" state="visible" r:id="rId7"/>
    <sheet name="Q5_Growth_Ratio" sheetId="6" state="visible" r:id="rId8"/>
    <sheet name="Q6_Crew_Ratings" sheetId="7" state="visible" r:id="rId9"/>
    <sheet name="Crews_Award" sheetId="8" state="visible" r:id="rId10"/>
    <sheet name="README_Data_Diction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<sst xmlns="http://schemas.openxmlformats.org/spreadsheetml/2006/main" count="205" uniqueCount="119">
  <si>
    <t xml:space="preserve">Year</t>
  </si>
  <si>
    <t xml:space="preserve">Airline</t>
  </si>
  <si>
    <t xml:space="preserve">Avg_Cancellaion_%</t>
  </si>
  <si>
    <t xml:space="preserve">Qantas</t>
  </si>
  <si>
    <t xml:space="preserve">Virgin Australia</t>
  </si>
  <si>
    <t xml:space="preserve">Airlines</t>
  </si>
  <si>
    <t xml:space="preserve">Load_Factor_%</t>
  </si>
  <si>
    <t xml:space="preserve">Data Sources &amp; References</t>
  </si>
  <si>
    <t xml:space="preserve">Reference list for figures used across the Qantas vs. Virgin Australia performance dashboard. Not linked to Tableau.</t>
  </si>
  <si>
    <t xml:space="preserve">No.</t>
  </si>
  <si>
    <t xml:space="preserve">Source</t>
  </si>
  <si>
    <t xml:space="preserve">Description</t>
  </si>
  <si>
    <t xml:space="preserve">Category</t>
  </si>
  <si>
    <t xml:space="preserve">URL</t>
  </si>
  <si>
    <t xml:space="preserve">Australian Competition and Consumer Commission (ACCC)</t>
  </si>
  <si>
    <t xml:space="preserve">Domestic airline competition monitoring reports — cancellation rate data</t>
  </si>
  <si>
    <t xml:space="preserve">Regulator</t>
  </si>
  <si>
    <t xml:space="preserve">https://www.accc.gov.au/about-us/publications/serial-publications/domestic-airline-competition-monitoring-reports</t>
  </si>
  <si>
    <t xml:space="preserve">Bureau of Infrastructure, Transport and Regional Economics (BITRE)</t>
  </si>
  <si>
    <t xml:space="preserve">Airline on-time monthly performance data — cancellation and load factor</t>
  </si>
  <si>
    <t xml:space="preserve">Government</t>
  </si>
  <si>
    <t xml:space="preserve">https://www.bitre.gov.au/publications/ongoing/airline_on_time_monthly</t>
  </si>
  <si>
    <t xml:space="preserve">Qantas Airways — Annual Report 2022</t>
  </si>
  <si>
    <t xml:space="preserve">Employee headcount and workforce data</t>
  </si>
  <si>
    <t xml:space="preserve">Annual Report</t>
  </si>
  <si>
    <t xml:space="preserve">https://investor.qantas.com/FormBuilder/_Resource/_module/doLLG5ufYkCyEPjF1tpgyw/file/annual-reports/2022-Annual-Report.pdf</t>
  </si>
  <si>
    <t xml:space="preserve">Qantas Airways — Annual Report 2023</t>
  </si>
  <si>
    <t xml:space="preserve">https://investor.qantas.com/FormBuilder/_Resource/_module/doLLG5ufYkCyEPjF1tpgyw/file/annual-reports/2023-Annual-Report.pdf</t>
  </si>
  <si>
    <t xml:space="preserve">Qantas Airways — Annual Report 2024</t>
  </si>
  <si>
    <t xml:space="preserve">https://investor.qantas.com/FormBuilder/_Resource/_module/doLLG5ufYkCyEPjF1tpgyw/file/annual-reports/2024-Annual-Report.pdf</t>
  </si>
  <si>
    <t xml:space="preserve">Qantas Airways — Annual Report 2025</t>
  </si>
  <si>
    <t xml:space="preserve">https://investor.qantas.com/FormBuilder/_Resource/_module/doLLG5ufYkCyEPjF1tpgyw/file/annual-reports/2025-Annual-Report.pdf</t>
  </si>
  <si>
    <t xml:space="preserve">Qantas Airways — Sustainability Report 2022</t>
  </si>
  <si>
    <t xml:space="preserve">Turnover and retention workforce data</t>
  </si>
  <si>
    <t xml:space="preserve">Sustainability</t>
  </si>
  <si>
    <t xml:space="preserve">https://investor.qantas.com/FormBuilder/_Resource/_module/doLLG5ufYkCyEPjF1tpgyw/file/annual-reports/QAN_2022_Sustainability_Report.pdf</t>
  </si>
  <si>
    <t xml:space="preserve">Qantas Airways — Sustainability Report 2023</t>
  </si>
  <si>
    <t xml:space="preserve">https://investor.qantas.com/FormBuilder/_Resource/_module/doLLG5ufYkCyEPjF1tpgyw/file/annual-reports/QAN_2023_Sustainability_Report.pdf</t>
  </si>
  <si>
    <t xml:space="preserve">Qantas Airways — Sustainability Report 2024</t>
  </si>
  <si>
    <t xml:space="preserve">https://investor.qantas.com/FormBuilder/_Resource/_module/doLLG5ufYkCyEPjF1tpgyw/file/annual-reports/QAN_2024_Sustainability_Report.pdf</t>
  </si>
  <si>
    <t xml:space="preserve">Qantas Airways — Sustainability Report 2025</t>
  </si>
  <si>
    <t xml:space="preserve">https://investor.qantas.com/FormBuilder/_Resource/_module/doLLG5ufYkCyEPjF1tpgyw/file/annual-reports/QAN_2025_Sustainability_Report.pdf</t>
  </si>
  <si>
    <t xml:space="preserve">Virgin Australia — Annual Report FY25</t>
  </si>
  <si>
    <t xml:space="preserve">https://www.virginaustralia.com/content/dam/vaa/documents/investor-centre/vgn-annual-report-fy25.pdf</t>
  </si>
  <si>
    <t xml:space="preserve">Virgin Australia — Sustainability Report 2022</t>
  </si>
  <si>
    <t xml:space="preserve">https://www.virginaustralia.com/content/dam/vaa/docs/2022-sustainability-report.pdf</t>
  </si>
  <si>
    <t xml:space="preserve">Virgin Australia — Sustainability Report 2023</t>
  </si>
  <si>
    <t xml:space="preserve">https://www.virginaustralia.com/content/dam/vaa/documents/reports/Virgin-Australia-Sustainability-Report-2023.pdf</t>
  </si>
  <si>
    <t xml:space="preserve">Virgin Australia — Sustainability Report 2024</t>
  </si>
  <si>
    <t xml:space="preserve">https://www.virginaustralia.com/content/dam/vaa/documents/reports/sustainability/virgin-australia-sustainability-report-2024.pdf</t>
  </si>
  <si>
    <t xml:space="preserve">Virgin Australia — Sustainability Report 2025</t>
  </si>
  <si>
    <t xml:space="preserve">https://www.virginaustralia.com/content/dam/vaa/documents/reports/sustainability/virgin-australia-sustainability-report-2025.pdf</t>
  </si>
  <si>
    <t xml:space="preserve">AirlineRatings.com</t>
  </si>
  <si>
    <t xml:space="preserve">World's Best Cabin Crew Award 2026 — service recognition benchmark</t>
  </si>
  <si>
    <t xml:space="preserve">Industry Award</t>
  </si>
  <si>
    <t xml:space="preserve">https://www.airlineratings.com/articles/worlds-best-airline-cabin-awards-2026</t>
  </si>
  <si>
    <t xml:space="preserve">Virgin Australia Newsroom</t>
  </si>
  <si>
    <t xml:space="preserve">Virgin Australia awarded world's best cabin crew for eighth year</t>
  </si>
  <si>
    <t xml:space="preserve">https://www.virginaustralia.com/au/en/newsroom/2026/3/virgin-australia-awarded-world-s-best-cabin-crew-for-eighth-year/</t>
  </si>
  <si>
    <t xml:space="preserve">Retensa</t>
  </si>
  <si>
    <t xml:space="preserve">Airline workforce retention strategies — cabin crew turnover industry benchmark</t>
  </si>
  <si>
    <t xml:space="preserve">Industry Report</t>
  </si>
  <si>
    <t xml:space="preserve">https://retensa.com/pilot-attendant-and-mechanic-turnover-in-airline-industry/</t>
  </si>
  <si>
    <t xml:space="preserve">Statista</t>
  </si>
  <si>
    <t xml:space="preserve">Number of flights performed by the global airline industry 2004–2024</t>
  </si>
  <si>
    <t xml:space="preserve">Industry Data</t>
  </si>
  <si>
    <t xml:space="preserve">https://www.statista.com/statistics/564769/airline-industry-number-of-flights/</t>
  </si>
  <si>
    <t xml:space="preserve">eGlobal Travel Media</t>
  </si>
  <si>
    <t xml:space="preserve">Qantas, FAAA seal historic deal for cabin crew pay boost — 2024 enterprise agreement</t>
  </si>
  <si>
    <t xml:space="preserve">News</t>
  </si>
  <si>
    <t xml:space="preserve">https://eglobaltravelmedia.com.au/2024/08/30/qantas-faaa-seal-historic-deal-for-cabin-crew-pay-boost/</t>
  </si>
  <si>
    <t xml:space="preserve">Route</t>
  </si>
  <si>
    <t xml:space="preserve">Sectors Scheduled</t>
  </si>
  <si>
    <t xml:space="preserve">Cancellations</t>
  </si>
  <si>
    <t xml:space="preserve">Cancellation Rate (%)</t>
  </si>
  <si>
    <t xml:space="preserve">Sydney-Canberra</t>
  </si>
  <si>
    <t xml:space="preserve">Canberra-Sydney</t>
  </si>
  <si>
    <t xml:space="preserve">Melbourne-Sydney</t>
  </si>
  <si>
    <t xml:space="preserve">Sydney-Melbourne</t>
  </si>
  <si>
    <t xml:space="preserve">Coffs Harbour-Sydney</t>
  </si>
  <si>
    <t xml:space="preserve">Turnover_Rate_%</t>
  </si>
  <si>
    <t xml:space="preserve">Retention_Rate_%</t>
  </si>
  <si>
    <t xml:space="preserve">Total_Employees</t>
  </si>
  <si>
    <t xml:space="preserve">Employee_Growth_%</t>
  </si>
  <si>
    <t xml:space="preserve">Total_Passengers</t>
  </si>
  <si>
    <t xml:space="preserve">Passenger_Growth_%</t>
  </si>
  <si>
    <t xml:space="preserve">Growth_Ratio</t>
  </si>
  <si>
    <t xml:space="preserve">N/A</t>
  </si>
  <si>
    <t xml:space="preserve">Award_Status</t>
  </si>
  <si>
    <t xml:space="preserve">Consecutive_Years</t>
  </si>
  <si>
    <t xml:space="preserve">⦰</t>
  </si>
  <si>
    <t xml:space="preserve">🏆</t>
  </si>
  <si>
    <t xml:space="preserve">Awards</t>
  </si>
  <si>
    <t xml:space="preserve">Qantas Dashboard – Tableau Data Dictionary</t>
  </si>
  <si>
    <t xml:space="preserve">Sheet</t>
  </si>
  <si>
    <t xml:space="preserve">Purpose / Question Answered</t>
  </si>
  <si>
    <t xml:space="preserve">Q1_OTP_Comparison</t>
  </si>
  <si>
    <t xml:space="preserve">Q1 – Compare Qantas, Virgin Australia &amp; Rex Airlines OTP (arrivals %) 2022–2025</t>
  </si>
  <si>
    <t xml:space="preserve">Q2_OTP_vs_LoadFactor</t>
  </si>
  <si>
    <t xml:space="preserve">Q2 – Relationship between Qantas OTP and Load Factor (scatter/dual-axis)</t>
  </si>
  <si>
    <t xml:space="preserve">Q3_Worst_Delay_Routes</t>
  </si>
  <si>
    <t xml:space="preserve">Q3 – Top 15 Qantas routes by Delay Rate (bar chart, sorted descending)</t>
  </si>
  <si>
    <t xml:space="preserve">Q4_Crew_Retention</t>
  </si>
  <si>
    <t xml:space="preserve">Q4 – Turnover &amp; Retention rates for Qantas vs Virgin Australia 2022–2025</t>
  </si>
  <si>
    <t xml:space="preserve">Q5_Growth_Ratio</t>
  </si>
  <si>
    <t xml:space="preserve">Q5 – Employees vs Passenger growth ratio; threshold 0.9 = well-supported</t>
  </si>
  <si>
    <t xml:space="preserve">Q6_Crew_Ratings</t>
  </si>
  <si>
    <t xml:space="preserve">Q6 – AirlineRatings.com Best Cabin Crew Award status 2022–2025</t>
  </si>
  <si>
    <t xml:space="preserve">KEY FIELDS</t>
  </si>
  <si>
    <t xml:space="preserve">Avg_OTP_%</t>
  </si>
  <si>
    <t xml:space="preserve">On-Time Performance: % of arrivals within 15 min of schedule</t>
  </si>
  <si>
    <t xml:space="preserve">Seat occupancy rate (passengers / available seats × 100)</t>
  </si>
  <si>
    <t xml:space="preserve">Delay_Rate_%</t>
  </si>
  <si>
    <t xml:space="preserve">100 − Avg_OTP_% (used for Q3 bar chart)</t>
  </si>
  <si>
    <t xml:space="preserve">% of cabin crew who left the airline in that year</t>
  </si>
  <si>
    <t xml:space="preserve">100 − Turnover_Rate_%</t>
  </si>
  <si>
    <t xml:space="preserve">Employee_Growth_% / Passenger_Growth_% (≥ 0.3 = well-supported)</t>
  </si>
  <si>
    <t xml:space="preserve">Awarded_Best</t>
  </si>
  <si>
    <t xml:space="preserve">Yes / No flag for Tableau colour encoding in Q6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</si>
</sst>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\%"/>
    <numFmt numFmtId="166" formatCode="#,##0"/>
    <numFmt numFmtId="167" formatCode="0.00\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8C4D9"/>
      </left>
      <right style="thin">
        <color rgb="FFB8C4D9"/>
      </right>
      <top style="thin">
        <color rgb="FFB8C4D9"/>
      </top>
      <bottom style="thin">
        <color rgb="FFB8C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9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ccc.gov.au/about-us/publications/serial-publications/domestic-airline-competition-monitoring-reports" TargetMode="External"/><Relationship Id="rId2" Type="http://schemas.openxmlformats.org/officeDocument/2006/relationships/hyperlink" Target="https://www.bitre.gov.au/publications/ongoing/airline_on_time_monthly" TargetMode="External"/><Relationship Id="rId3" Type="http://schemas.openxmlformats.org/officeDocument/2006/relationships/hyperlink" Target="https://investor.qantas.com/FormBuilder/_Resource/_module/doLLG5ufYkCyEPjF1tpgyw/file/annual-reports/2022-Annual-Report.pdf" TargetMode="External"/><Relationship Id="rId4" Type="http://schemas.openxmlformats.org/officeDocument/2006/relationships/hyperlink" Target="https://investor.qantas.com/FormBuilder/_Resource/_module/doLLG5ufYkCyEPjF1tpgyw/file/annual-reports/2023-Annual-Report.pdf" TargetMode="External"/><Relationship Id="rId5" Type="http://schemas.openxmlformats.org/officeDocument/2006/relationships/hyperlink" Target="https://investor.qantas.com/FormBuilder/_Resource/_module/doLLG5ufYkCyEPjF1tpgyw/file/annual-reports/2024-Annual-Report.pdf" TargetMode="External"/><Relationship Id="rId6" Type="http://schemas.openxmlformats.org/officeDocument/2006/relationships/hyperlink" Target="https://investor.qantas.com/FormBuilder/_Resource/_module/doLLG5ufYkCyEPjF1tpgyw/file/annual-reports/2025-Annual-Report.pdf" TargetMode="External"/><Relationship Id="rId7" Type="http://schemas.openxmlformats.org/officeDocument/2006/relationships/hyperlink" Target="https://investor.qantas.com/FormBuilder/_Resource/_module/doLLG5ufYkCyEPjF1tpgyw/file/annual-reports/QAN_2022_Sustainability_Report.pdf" TargetMode="External"/><Relationship Id="rId8" Type="http://schemas.openxmlformats.org/officeDocument/2006/relationships/hyperlink" Target="https://investor.qantas.com/FormBuilder/_Resource/_module/doLLG5ufYkCyEPjF1tpgyw/file/annual-reports/QAN_2023_Sustainability_Report.pdf" TargetMode="External"/><Relationship Id="rId9" Type="http://schemas.openxmlformats.org/officeDocument/2006/relationships/hyperlink" Target="https://investor.qantas.com/FormBuilder/_Resource/_module/doLLG5ufYkCyEPjF1tpgyw/file/annual-reports/QAN_2024_Sustainability_Report.pdf" TargetMode="External"/><Relationship Id="rId10" Type="http://schemas.openxmlformats.org/officeDocument/2006/relationships/hyperlink" Target="https://investor.qantas.com/FormBuilder/_Resource/_module/doLLG5ufYkCyEPjF1tpgyw/file/annual-reports/QAN_2025_Sustainability_Report.pdf" TargetMode="External"/><Relationship Id="rId11" Type="http://schemas.openxmlformats.org/officeDocument/2006/relationships/hyperlink" Target="https://www.virginaustralia.com/content/dam/vaa/documents/investor-centre/vgn-annual-report-fy25.pdf" TargetMode="External"/><Relationship Id="rId12" Type="http://schemas.openxmlformats.org/officeDocument/2006/relationships/hyperlink" Target="https://www.virginaustralia.com/content/dam/vaa/docs/2022-sustainability-report.pdf" TargetMode="External"/><Relationship Id="rId13" Type="http://schemas.openxmlformats.org/officeDocument/2006/relationships/hyperlink" Target="https://www.virginaustralia.com/content/dam/vaa/documents/reports/Virgin-Australia-Sustainability-Report-2023.pdf" TargetMode="External"/><Relationship Id="rId14" Type="http://schemas.openxmlformats.org/officeDocument/2006/relationships/hyperlink" Target="https://www.virginaustralia.com/content/dam/vaa/documents/reports/sustainability/virgin-australia-sustainability-report-2024.pdf" TargetMode="External"/><Relationship Id="rId15" Type="http://schemas.openxmlformats.org/officeDocument/2006/relationships/hyperlink" Target="https://www.virginaustralia.com/content/dam/vaa/documents/reports/sustainability/virgin-australia-sustainability-report-2025.pdf" TargetMode="External"/><Relationship Id="rId16" Type="http://schemas.openxmlformats.org/officeDocument/2006/relationships/hyperlink" Target="https://www.airlineratings.com/articles/worlds-best-airline-cabin-awards-2026" TargetMode="External"/><Relationship Id="rId17" Type="http://schemas.openxmlformats.org/officeDocument/2006/relationships/hyperlink" Target="https://www.virginaustralia.com/au/en/newsroom/2026/3/virgin-australia-awarded-world-s-best-cabin-crew-for-eighth-year/" TargetMode="External"/><Relationship Id="rId18" Type="http://schemas.openxmlformats.org/officeDocument/2006/relationships/hyperlink" Target="https://retensa.com/pilot-attendant-and-mechanic-turnover-in-airline-industry/" TargetMode="External"/><Relationship Id="rId19" Type="http://schemas.openxmlformats.org/officeDocument/2006/relationships/hyperlink" Target="https://www.statista.com/statistics/564769/airline-industry-number-of-flights/" TargetMode="External"/><Relationship Id="rId20" Type="http://schemas.openxmlformats.org/officeDocument/2006/relationships/hyperlink" Target="https://eglobaltravelmedia.com.au/2024/08/30/qantas-faaa-seal-historic-deal-for-cabin-crew-pay-boos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2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true" outlineLevel="0" collapsed="false">
      <c r="A2" s="3" t="n">
        <v>2022</v>
      </c>
      <c r="B2" s="4" t="s">
        <v>3</v>
      </c>
      <c r="C2" s="5" t="n">
        <v>5.1</v>
      </c>
    </row>
    <row r="3" customFormat="false" ht="14.25" hidden="false" customHeight="true" outlineLevel="0" collapsed="false">
      <c r="A3" s="3" t="n">
        <v>2022</v>
      </c>
      <c r="B3" s="4" t="s">
        <v>4</v>
      </c>
      <c r="C3" s="5" t="n">
        <v>4.7</v>
      </c>
    </row>
    <row r="4" customFormat="false" ht="14.25" hidden="false" customHeight="true" outlineLevel="0" collapsed="false">
      <c r="A4" s="3" t="n">
        <v>2023</v>
      </c>
      <c r="B4" s="4" t="s">
        <v>3</v>
      </c>
      <c r="C4" s="5" t="n">
        <v>3.3</v>
      </c>
    </row>
    <row r="5" customFormat="false" ht="14.25" hidden="false" customHeight="true" outlineLevel="0" collapsed="false">
      <c r="A5" s="3" t="n">
        <v>2023</v>
      </c>
      <c r="B5" s="4" t="s">
        <v>4</v>
      </c>
      <c r="C5" s="5" t="n">
        <v>3.7</v>
      </c>
    </row>
    <row r="6" customFormat="false" ht="14.25" hidden="false" customHeight="true" outlineLevel="0" collapsed="false">
      <c r="A6" s="3" t="n">
        <v>2024</v>
      </c>
      <c r="B6" s="4" t="s">
        <v>3</v>
      </c>
      <c r="C6" s="5" t="n">
        <v>2.9</v>
      </c>
    </row>
    <row r="7" customFormat="false" ht="14.25" hidden="false" customHeight="true" outlineLevel="0" collapsed="false">
      <c r="A7" s="3" t="n">
        <v>2024</v>
      </c>
      <c r="B7" s="4" t="s">
        <v>4</v>
      </c>
      <c r="C7" s="5" t="n">
        <v>2.6</v>
      </c>
    </row>
    <row r="8" customFormat="false" ht="14.25" hidden="false" customHeight="true" outlineLevel="0" collapsed="false">
      <c r="A8" s="3" t="n">
        <v>2025</v>
      </c>
      <c r="B8" s="4" t="s">
        <v>3</v>
      </c>
      <c r="C8" s="5" t="n">
        <v>3.2</v>
      </c>
    </row>
    <row r="9" customFormat="false" ht="14.25" hidden="false" customHeight="true" outlineLevel="0" collapsed="false">
      <c r="A9" s="3" t="n">
        <v>2025</v>
      </c>
      <c r="B9" s="4" t="s">
        <v>4</v>
      </c>
      <c r="C9" s="5" t="n">
        <v>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9" activeCellId="0" sqref="F29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7"/>
  </cols>
  <sheetData>
    <row r="1" customFormat="false" ht="27.75" hidden="false" customHeight="true" outlineLevel="0" collapsed="false">
      <c r="A1" s="2" t="s">
        <v>0</v>
      </c>
      <c r="B1" s="2" t="s">
        <v>5</v>
      </c>
      <c r="C1" s="2" t="s">
        <v>6</v>
      </c>
    </row>
    <row r="2" customFormat="false" ht="14.25" hidden="false" customHeight="true" outlineLevel="0" collapsed="false">
      <c r="A2" s="3" t="n">
        <v>2022</v>
      </c>
      <c r="B2" s="4" t="s">
        <v>3</v>
      </c>
      <c r="C2" s="5" t="n">
        <v>67.9</v>
      </c>
    </row>
    <row r="3" customFormat="false" ht="14.25" hidden="false" customHeight="true" outlineLevel="0" collapsed="false">
      <c r="A3" s="3" t="n">
        <v>2023</v>
      </c>
      <c r="B3" s="4" t="s">
        <v>3</v>
      </c>
      <c r="C3" s="5" t="n">
        <v>83.3</v>
      </c>
    </row>
    <row r="4" customFormat="false" ht="14.25" hidden="false" customHeight="true" outlineLevel="0" collapsed="false">
      <c r="A4" s="3" t="n">
        <v>2024</v>
      </c>
      <c r="B4" s="4" t="s">
        <v>3</v>
      </c>
      <c r="C4" s="5" t="n">
        <v>82.7</v>
      </c>
    </row>
    <row r="5" customFormat="false" ht="14.25" hidden="false" customHeight="true" outlineLevel="0" collapsed="false">
      <c r="A5" s="3" t="n">
        <v>2025</v>
      </c>
      <c r="B5" s="4" t="s">
        <v>3</v>
      </c>
      <c r="C5" s="5" t="n">
        <v>84.7</v>
      </c>
    </row>
    <row r="6" customFormat="false" ht="14.25" hidden="false" customHeight="true" outlineLevel="0" collapsed="false">
      <c r="A6" s="3" t="n">
        <v>2022</v>
      </c>
      <c r="B6" s="4" t="s">
        <v>4</v>
      </c>
      <c r="C6" s="3" t="n">
        <v>69</v>
      </c>
    </row>
    <row r="7" customFormat="false" ht="14.25" hidden="false" customHeight="true" outlineLevel="0" collapsed="false">
      <c r="A7" s="3" t="n">
        <v>2023</v>
      </c>
      <c r="B7" s="4" t="s">
        <v>4</v>
      </c>
      <c r="C7" s="3" t="n">
        <v>83</v>
      </c>
    </row>
    <row r="8" customFormat="false" ht="14.25" hidden="false" customHeight="true" outlineLevel="0" collapsed="false">
      <c r="A8" s="3" t="n">
        <v>2024</v>
      </c>
      <c r="B8" s="4" t="s">
        <v>4</v>
      </c>
      <c r="C8" s="3" t="n">
        <v>83</v>
      </c>
    </row>
    <row r="9" customFormat="false" ht="14.25" hidden="false" customHeight="true" outlineLevel="0" collapsed="false">
      <c r="A9" s="3" t="n">
        <v>2025</v>
      </c>
      <c r="B9" s="4" t="s">
        <v>4</v>
      </c>
      <c r="C9" s="3" t="n">
        <v>84.9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1" colorId="64" zoomScale="115" zoomScaleNormal="115" zoomScalePageLayoutView="100" workbookViewId="0">
      <pane xSplit="0" ySplit="4" topLeftCell="A5" activePane="bottomLeft" state="frozen"/>
      <selection pane="topLeft" activeCell="A11" activeCellId="0" sqref="A11"/>
      <selection pane="bottomLeft" activeCell="A4" activeCellId="0" sqref="A4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55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30" hidden="false" customHeight="true" outlineLevel="0" collapsed="false">
      <c r="A1" s="6" t="s">
        <v>7</v>
      </c>
      <c r="B1" s="6"/>
      <c r="C1" s="6"/>
      <c r="D1" s="6"/>
      <c r="E1" s="6"/>
    </row>
    <row r="2" customFormat="false" ht="18" hidden="false" customHeight="true" outlineLevel="0" collapsed="false">
      <c r="A2" s="7" t="s">
        <v>8</v>
      </c>
      <c r="B2" s="7"/>
      <c r="C2" s="7"/>
      <c r="D2" s="7"/>
      <c r="E2" s="7"/>
    </row>
    <row r="3" customFormat="false" ht="14.25" hidden="false" customHeight="false" outlineLevel="0" collapsed="false">
      <c r="A3" s="8"/>
      <c r="B3" s="8"/>
      <c r="C3" s="8"/>
      <c r="D3" s="8"/>
      <c r="E3" s="8"/>
    </row>
    <row r="4" customFormat="false" ht="24" hidden="false" customHeight="true" outlineLevel="0" collapsed="false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customFormat="false" ht="24" hidden="false" customHeight="true" outlineLevel="0" collapsed="false">
      <c r="A5" s="9" t="n">
        <v>1</v>
      </c>
      <c r="B5" s="9" t="s">
        <v>14</v>
      </c>
      <c r="C5" s="9" t="s">
        <v>15</v>
      </c>
      <c r="D5" s="9" t="s">
        <v>16</v>
      </c>
      <c r="E5" s="10" t="s">
        <v>17</v>
      </c>
    </row>
    <row r="6" customFormat="false" ht="24" hidden="false" customHeight="true" outlineLevel="0" collapsed="false">
      <c r="A6" s="9" t="n">
        <v>2</v>
      </c>
      <c r="B6" s="9" t="s">
        <v>18</v>
      </c>
      <c r="C6" s="9" t="s">
        <v>19</v>
      </c>
      <c r="D6" s="9" t="s">
        <v>20</v>
      </c>
      <c r="E6" s="10" t="s">
        <v>21</v>
      </c>
    </row>
    <row r="7" customFormat="false" ht="22.5" hidden="false" customHeight="true" outlineLevel="0" collapsed="false">
      <c r="A7" s="9" t="n">
        <v>3</v>
      </c>
      <c r="B7" s="9" t="s">
        <v>22</v>
      </c>
      <c r="C7" s="9" t="s">
        <v>23</v>
      </c>
      <c r="D7" s="9" t="s">
        <v>24</v>
      </c>
      <c r="E7" s="10" t="s">
        <v>25</v>
      </c>
    </row>
    <row r="8" customFormat="false" ht="22.5" hidden="false" customHeight="true" outlineLevel="0" collapsed="false">
      <c r="A8" s="9" t="n">
        <v>4</v>
      </c>
      <c r="B8" s="9" t="s">
        <v>26</v>
      </c>
      <c r="C8" s="9" t="s">
        <v>23</v>
      </c>
      <c r="D8" s="9" t="s">
        <v>24</v>
      </c>
      <c r="E8" s="10" t="s">
        <v>27</v>
      </c>
    </row>
    <row r="9" customFormat="false" ht="22.5" hidden="false" customHeight="true" outlineLevel="0" collapsed="false">
      <c r="A9" s="9" t="n">
        <v>5</v>
      </c>
      <c r="B9" s="9" t="s">
        <v>28</v>
      </c>
      <c r="C9" s="9" t="s">
        <v>23</v>
      </c>
      <c r="D9" s="9" t="s">
        <v>24</v>
      </c>
      <c r="E9" s="10" t="s">
        <v>29</v>
      </c>
    </row>
    <row r="10" customFormat="false" ht="22.5" hidden="false" customHeight="true" outlineLevel="0" collapsed="false">
      <c r="A10" s="9" t="n">
        <v>6</v>
      </c>
      <c r="B10" s="9" t="s">
        <v>30</v>
      </c>
      <c r="C10" s="9" t="s">
        <v>23</v>
      </c>
      <c r="D10" s="9" t="s">
        <v>24</v>
      </c>
      <c r="E10" s="10" t="s">
        <v>31</v>
      </c>
    </row>
    <row r="11" customFormat="false" ht="22.5" hidden="false" customHeight="true" outlineLevel="0" collapsed="false">
      <c r="A11" s="9" t="n">
        <v>7</v>
      </c>
      <c r="B11" s="9" t="s">
        <v>32</v>
      </c>
      <c r="C11" s="9" t="s">
        <v>33</v>
      </c>
      <c r="D11" s="9" t="s">
        <v>34</v>
      </c>
      <c r="E11" s="10" t="s">
        <v>35</v>
      </c>
    </row>
    <row r="12" customFormat="false" ht="22.5" hidden="false" customHeight="true" outlineLevel="0" collapsed="false">
      <c r="A12" s="9" t="n">
        <v>8</v>
      </c>
      <c r="B12" s="9" t="s">
        <v>36</v>
      </c>
      <c r="C12" s="9" t="s">
        <v>33</v>
      </c>
      <c r="D12" s="9" t="s">
        <v>34</v>
      </c>
      <c r="E12" s="10" t="s">
        <v>37</v>
      </c>
    </row>
    <row r="13" customFormat="false" ht="22.5" hidden="false" customHeight="true" outlineLevel="0" collapsed="false">
      <c r="A13" s="9" t="n">
        <v>9</v>
      </c>
      <c r="B13" s="9" t="s">
        <v>38</v>
      </c>
      <c r="C13" s="9" t="s">
        <v>33</v>
      </c>
      <c r="D13" s="9" t="s">
        <v>34</v>
      </c>
      <c r="E13" s="10" t="s">
        <v>39</v>
      </c>
    </row>
    <row r="14" customFormat="false" ht="22.5" hidden="false" customHeight="true" outlineLevel="0" collapsed="false">
      <c r="A14" s="9" t="n">
        <v>10</v>
      </c>
      <c r="B14" s="9" t="s">
        <v>40</v>
      </c>
      <c r="C14" s="9" t="s">
        <v>33</v>
      </c>
      <c r="D14" s="9" t="s">
        <v>34</v>
      </c>
      <c r="E14" s="10" t="s">
        <v>41</v>
      </c>
    </row>
    <row r="15" customFormat="false" ht="22.5" hidden="false" customHeight="true" outlineLevel="0" collapsed="false">
      <c r="A15" s="9" t="n">
        <v>11</v>
      </c>
      <c r="B15" s="9" t="s">
        <v>42</v>
      </c>
      <c r="C15" s="9" t="s">
        <v>23</v>
      </c>
      <c r="D15" s="9" t="s">
        <v>24</v>
      </c>
      <c r="E15" s="10" t="s">
        <v>43</v>
      </c>
    </row>
    <row r="16" customFormat="false" ht="22.5" hidden="false" customHeight="true" outlineLevel="0" collapsed="false">
      <c r="A16" s="9" t="n">
        <v>12</v>
      </c>
      <c r="B16" s="9" t="s">
        <v>44</v>
      </c>
      <c r="C16" s="9" t="s">
        <v>33</v>
      </c>
      <c r="D16" s="9" t="s">
        <v>34</v>
      </c>
      <c r="E16" s="10" t="s">
        <v>45</v>
      </c>
    </row>
    <row r="17" customFormat="false" ht="22.5" hidden="false" customHeight="true" outlineLevel="0" collapsed="false">
      <c r="A17" s="9" t="n">
        <v>13</v>
      </c>
      <c r="B17" s="9" t="s">
        <v>46</v>
      </c>
      <c r="C17" s="9" t="s">
        <v>33</v>
      </c>
      <c r="D17" s="9" t="s">
        <v>34</v>
      </c>
      <c r="E17" s="10" t="s">
        <v>47</v>
      </c>
    </row>
    <row r="18" customFormat="false" ht="22.5" hidden="false" customHeight="true" outlineLevel="0" collapsed="false">
      <c r="A18" s="9" t="n">
        <v>14</v>
      </c>
      <c r="B18" s="9" t="s">
        <v>48</v>
      </c>
      <c r="C18" s="9" t="s">
        <v>33</v>
      </c>
      <c r="D18" s="9" t="s">
        <v>34</v>
      </c>
      <c r="E18" s="10" t="s">
        <v>49</v>
      </c>
    </row>
    <row r="19" customFormat="false" ht="22.5" hidden="false" customHeight="true" outlineLevel="0" collapsed="false">
      <c r="A19" s="9" t="n">
        <v>15</v>
      </c>
      <c r="B19" s="9" t="s">
        <v>50</v>
      </c>
      <c r="C19" s="9" t="s">
        <v>33</v>
      </c>
      <c r="D19" s="9" t="s">
        <v>34</v>
      </c>
      <c r="E19" s="10" t="s">
        <v>51</v>
      </c>
    </row>
    <row r="20" customFormat="false" ht="22.5" hidden="false" customHeight="true" outlineLevel="0" collapsed="false">
      <c r="A20" s="9" t="n">
        <v>16</v>
      </c>
      <c r="B20" s="9" t="s">
        <v>52</v>
      </c>
      <c r="C20" s="9" t="s">
        <v>53</v>
      </c>
      <c r="D20" s="9" t="s">
        <v>54</v>
      </c>
      <c r="E20" s="10" t="s">
        <v>55</v>
      </c>
    </row>
    <row r="21" customFormat="false" ht="22.5" hidden="false" customHeight="true" outlineLevel="0" collapsed="false">
      <c r="A21" s="9" t="n">
        <v>17</v>
      </c>
      <c r="B21" s="9" t="s">
        <v>56</v>
      </c>
      <c r="C21" s="9" t="s">
        <v>57</v>
      </c>
      <c r="D21" s="9" t="s">
        <v>54</v>
      </c>
      <c r="E21" s="10" t="s">
        <v>58</v>
      </c>
    </row>
    <row r="22" customFormat="false" ht="22.5" hidden="false" customHeight="true" outlineLevel="0" collapsed="false">
      <c r="A22" s="9" t="n">
        <v>18</v>
      </c>
      <c r="B22" s="9" t="s">
        <v>59</v>
      </c>
      <c r="C22" s="9" t="s">
        <v>60</v>
      </c>
      <c r="D22" s="9" t="s">
        <v>61</v>
      </c>
      <c r="E22" s="10" t="s">
        <v>62</v>
      </c>
    </row>
    <row r="23" customFormat="false" ht="22.5" hidden="false" customHeight="true" outlineLevel="0" collapsed="false">
      <c r="A23" s="9" t="n">
        <v>19</v>
      </c>
      <c r="B23" s="9" t="s">
        <v>63</v>
      </c>
      <c r="C23" s="9" t="s">
        <v>64</v>
      </c>
      <c r="D23" s="9" t="s">
        <v>65</v>
      </c>
      <c r="E23" s="10" t="s">
        <v>66</v>
      </c>
    </row>
    <row r="24" customFormat="false" ht="22.5" hidden="false" customHeight="true" outlineLevel="0" collapsed="false">
      <c r="A24" s="9" t="n">
        <v>20</v>
      </c>
      <c r="B24" s="9" t="s">
        <v>67</v>
      </c>
      <c r="C24" s="9" t="s">
        <v>68</v>
      </c>
      <c r="D24" s="9" t="s">
        <v>69</v>
      </c>
      <c r="E24" s="10" t="s">
        <v>70</v>
      </c>
    </row>
  </sheetData>
  <mergeCells count="2">
    <mergeCell ref="A1:E1"/>
    <mergeCell ref="A2:E2"/>
  </mergeCells>
  <hyperlinks>
    <hyperlink ref="E5" r:id="rId1" display="https://www.accc.gov.au/about-us/publications/serial-publications/domestic-airline-competition-monitoring-reports"/>
    <hyperlink ref="E6" r:id="rId2" display="https://www.bitre.gov.au/publications/ongoing/airline_on_time_monthly"/>
    <hyperlink ref="E7" r:id="rId3" display="https://investor.qantas.com/FormBuilder/_Resource/_module/doLLG5ufYkCyEPjF1tpgyw/file/annual-reports/2022-Annual-Report.pdf"/>
    <hyperlink ref="E8" r:id="rId4" display="https://investor.qantas.com/FormBuilder/_Resource/_module/doLLG5ufYkCyEPjF1tpgyw/file/annual-reports/2023-Annual-Report.pdf"/>
    <hyperlink ref="E9" r:id="rId5" display="https://investor.qantas.com/FormBuilder/_Resource/_module/doLLG5ufYkCyEPjF1tpgyw/file/annual-reports/2024-Annual-Report.pdf"/>
    <hyperlink ref="E10" r:id="rId6" display="https://investor.qantas.com/FormBuilder/_Resource/_module/doLLG5ufYkCyEPjF1tpgyw/file/annual-reports/2025-Annual-Report.pdf"/>
    <hyperlink ref="E11" r:id="rId7" display="https://investor.qantas.com/FormBuilder/_Resource/_module/doLLG5ufYkCyEPjF1tpgyw/file/annual-reports/QAN_2022_Sustainability_Report.pdf"/>
    <hyperlink ref="E12" r:id="rId8" display="https://investor.qantas.com/FormBuilder/_Resource/_module/doLLG5ufYkCyEPjF1tpgyw/file/annual-reports/QAN_2023_Sustainability_Report.pdf"/>
    <hyperlink ref="E13" r:id="rId9" display="https://investor.qantas.com/FormBuilder/_Resource/_module/doLLG5ufYkCyEPjF1tpgyw/file/annual-reports/QAN_2024_Sustainability_Report.pdf"/>
    <hyperlink ref="E14" r:id="rId10" display="https://investor.qantas.com/FormBuilder/_Resource/_module/doLLG5ufYkCyEPjF1tpgyw/file/annual-reports/QAN_2025_Sustainability_Report.pdf"/>
    <hyperlink ref="E15" r:id="rId11" display="https://www.virginaustralia.com/content/dam/vaa/documents/investor-centre/vgn-annual-report-fy25.pdf"/>
    <hyperlink ref="E16" r:id="rId12" display="https://www.virginaustralia.com/content/dam/vaa/docs/2022-sustainability-report.pdf"/>
    <hyperlink ref="E17" r:id="rId13" display="https://www.virginaustralia.com/content/dam/vaa/documents/reports/Virgin-Australia-Sustainability-Report-2023.pdf"/>
    <hyperlink ref="E18" r:id="rId14" display="https://www.virginaustralia.com/content/dam/vaa/documents/reports/sustainability/virgin-australia-sustainability-report-2024.pdf"/>
    <hyperlink ref="E19" r:id="rId15" display="https://www.virginaustralia.com/content/dam/vaa/documents/reports/sustainability/virgin-australia-sustainability-report-2025.pdf"/>
    <hyperlink ref="E20" r:id="rId16" display="https://www.airlineratings.com/articles/worlds-best-airline-cabin-awards-2026"/>
    <hyperlink ref="E21" r:id="rId17" display="https://www.virginaustralia.com/au/en/newsroom/2026/3/virgin-australia-awarded-world-s-best-cabin-crew-for-eighth-year/"/>
    <hyperlink ref="E22" r:id="rId18" display="https://retensa.com/pilot-attendant-and-mechanic-turnover-in-airline-industry/"/>
    <hyperlink ref="E23" r:id="rId19" display="https://www.statista.com/statistics/564769/airline-industry-number-of-flights/"/>
    <hyperlink ref="E24" r:id="rId20" display="https://eglobaltravelmedia.com.au/2024/08/30/qantas-faaa-seal-historic-deal-for-cabin-crew-pay-boost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8" activeCellId="0" sqref="G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1"/>
    <col collapsed="false" customWidth="true" hidden="false" outlineLevel="0" max="3" min="3" style="1" width="17"/>
    <col collapsed="false" customWidth="true" hidden="false" outlineLevel="0" max="5" min="4" style="1" width="25"/>
  </cols>
  <sheetData>
    <row r="1" customFormat="false" ht="27.75" hidden="false" customHeight="true" outlineLevel="0" collapsed="false">
      <c r="A1" s="2" t="s">
        <v>71</v>
      </c>
      <c r="B1" s="2" t="s">
        <v>72</v>
      </c>
      <c r="C1" s="2" t="s">
        <v>73</v>
      </c>
      <c r="D1" s="2" t="s">
        <v>74</v>
      </c>
    </row>
    <row r="2" customFormat="false" ht="14.25" hidden="false" customHeight="true" outlineLevel="0" collapsed="false">
      <c r="A2" s="4" t="s">
        <v>75</v>
      </c>
      <c r="B2" s="11" t="n">
        <v>502</v>
      </c>
      <c r="C2" s="11" t="n">
        <v>31</v>
      </c>
      <c r="D2" s="12" t="n">
        <v>6.18</v>
      </c>
    </row>
    <row r="3" customFormat="false" ht="14.25" hidden="false" customHeight="true" outlineLevel="0" collapsed="false">
      <c r="A3" s="4" t="s">
        <v>76</v>
      </c>
      <c r="B3" s="11" t="n">
        <v>503</v>
      </c>
      <c r="C3" s="11" t="n">
        <v>31</v>
      </c>
      <c r="D3" s="12" t="n">
        <v>6.16</v>
      </c>
    </row>
    <row r="4" customFormat="false" ht="14.25" hidden="false" customHeight="true" outlineLevel="0" collapsed="false">
      <c r="A4" s="4" t="s">
        <v>77</v>
      </c>
      <c r="B4" s="11" t="n">
        <v>10375</v>
      </c>
      <c r="C4" s="11" t="n">
        <v>566</v>
      </c>
      <c r="D4" s="12" t="n">
        <v>5.46</v>
      </c>
    </row>
    <row r="5" customFormat="false" ht="14.25" hidden="false" customHeight="true" outlineLevel="0" collapsed="false">
      <c r="A5" s="4" t="s">
        <v>78</v>
      </c>
      <c r="B5" s="11" t="n">
        <v>10382</v>
      </c>
      <c r="C5" s="11" t="n">
        <v>564</v>
      </c>
      <c r="D5" s="12" t="n">
        <v>5.43</v>
      </c>
    </row>
    <row r="6" customFormat="false" ht="14.25" hidden="false" customHeight="true" outlineLevel="0" collapsed="false">
      <c r="A6" s="4" t="s">
        <v>79</v>
      </c>
      <c r="B6" s="11" t="n">
        <v>158</v>
      </c>
      <c r="C6" s="11" t="n">
        <v>6</v>
      </c>
      <c r="D6" s="12" t="n">
        <v>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3" activeCellId="0" sqref="I23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4" min="3" style="1" width="19"/>
  </cols>
  <sheetData>
    <row r="1" customFormat="false" ht="27.75" hidden="false" customHeight="true" outlineLevel="0" collapsed="false">
      <c r="A1" s="2" t="s">
        <v>1</v>
      </c>
      <c r="B1" s="2" t="s">
        <v>0</v>
      </c>
      <c r="C1" s="2" t="s">
        <v>80</v>
      </c>
      <c r="D1" s="2" t="s">
        <v>81</v>
      </c>
    </row>
    <row r="2" customFormat="false" ht="14.25" hidden="false" customHeight="true" outlineLevel="0" collapsed="false">
      <c r="A2" s="4" t="s">
        <v>3</v>
      </c>
      <c r="B2" s="3" t="n">
        <v>2022</v>
      </c>
      <c r="C2" s="5" t="n">
        <v>10.4</v>
      </c>
      <c r="D2" s="5" t="n">
        <v>89.6</v>
      </c>
    </row>
    <row r="3" customFormat="false" ht="14.25" hidden="false" customHeight="true" outlineLevel="0" collapsed="false">
      <c r="A3" s="4" t="s">
        <v>3</v>
      </c>
      <c r="B3" s="3" t="n">
        <v>2023</v>
      </c>
      <c r="C3" s="5" t="n">
        <v>8.6</v>
      </c>
      <c r="D3" s="5" t="n">
        <v>91.4</v>
      </c>
    </row>
    <row r="4" customFormat="false" ht="14.25" hidden="false" customHeight="true" outlineLevel="0" collapsed="false">
      <c r="A4" s="4" t="s">
        <v>3</v>
      </c>
      <c r="B4" s="3" t="n">
        <v>2024</v>
      </c>
      <c r="C4" s="5" t="n">
        <v>6.5</v>
      </c>
      <c r="D4" s="5" t="n">
        <v>93.5</v>
      </c>
    </row>
    <row r="5" customFormat="false" ht="14.25" hidden="false" customHeight="true" outlineLevel="0" collapsed="false">
      <c r="A5" s="4" t="s">
        <v>3</v>
      </c>
      <c r="B5" s="3" t="n">
        <v>2025</v>
      </c>
      <c r="C5" s="5" t="n">
        <v>5.4</v>
      </c>
      <c r="D5" s="5" t="n">
        <v>94.6</v>
      </c>
    </row>
    <row r="6" customFormat="false" ht="14.25" hidden="false" customHeight="true" outlineLevel="0" collapsed="false">
      <c r="A6" s="4" t="s">
        <v>4</v>
      </c>
      <c r="B6" s="3" t="n">
        <v>2022</v>
      </c>
      <c r="C6" s="5" t="n">
        <v>18.2</v>
      </c>
      <c r="D6" s="5" t="n">
        <v>81.8</v>
      </c>
    </row>
    <row r="7" customFormat="false" ht="14.25" hidden="false" customHeight="true" outlineLevel="0" collapsed="false">
      <c r="A7" s="4" t="s">
        <v>4</v>
      </c>
      <c r="B7" s="3" t="n">
        <v>2023</v>
      </c>
      <c r="C7" s="5" t="n">
        <v>23</v>
      </c>
      <c r="D7" s="5" t="n">
        <v>77</v>
      </c>
    </row>
    <row r="8" customFormat="false" ht="14.25" hidden="false" customHeight="true" outlineLevel="0" collapsed="false">
      <c r="A8" s="4" t="s">
        <v>4</v>
      </c>
      <c r="B8" s="3" t="n">
        <v>2024</v>
      </c>
      <c r="C8" s="5" t="n">
        <v>15.9</v>
      </c>
      <c r="D8" s="5" t="n">
        <v>84.1</v>
      </c>
    </row>
    <row r="9" customFormat="false" ht="14.25" hidden="false" customHeight="true" outlineLevel="0" collapsed="false">
      <c r="A9" s="4" t="s">
        <v>4</v>
      </c>
      <c r="B9" s="3" t="n">
        <v>2025</v>
      </c>
      <c r="C9" s="5" t="n">
        <v>11.1</v>
      </c>
      <c r="D9" s="5" t="n">
        <v>88.9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O22" activeCellId="0" sqref="O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4" min="3" style="1" width="19"/>
    <col collapsed="false" customWidth="true" hidden="false" outlineLevel="0" max="6" min="5" style="1" width="20"/>
    <col collapsed="false" customWidth="true" hidden="false" outlineLevel="0" max="7" min="7" style="13" width="16"/>
  </cols>
  <sheetData>
    <row r="1" customFormat="false" ht="27.75" hidden="false" customHeight="true" outlineLevel="0" collapsed="false">
      <c r="A1" s="2" t="s">
        <v>1</v>
      </c>
      <c r="B1" s="2" t="s">
        <v>0</v>
      </c>
      <c r="C1" s="2" t="s">
        <v>82</v>
      </c>
      <c r="D1" s="2" t="s">
        <v>83</v>
      </c>
      <c r="E1" s="2" t="s">
        <v>84</v>
      </c>
      <c r="F1" s="2" t="s">
        <v>85</v>
      </c>
      <c r="G1" s="14" t="s">
        <v>86</v>
      </c>
    </row>
    <row r="2" customFormat="false" ht="14.25" hidden="false" customHeight="true" outlineLevel="0" collapsed="false">
      <c r="A2" s="4" t="s">
        <v>3</v>
      </c>
      <c r="B2" s="3" t="n">
        <v>2022</v>
      </c>
      <c r="C2" s="11" t="n">
        <v>21847</v>
      </c>
      <c r="D2" s="4" t="s">
        <v>87</v>
      </c>
      <c r="E2" s="11" t="n">
        <v>21257000</v>
      </c>
      <c r="F2" s="4" t="s">
        <v>87</v>
      </c>
      <c r="G2" s="15" t="s">
        <v>87</v>
      </c>
    </row>
    <row r="3" customFormat="false" ht="14.25" hidden="false" customHeight="true" outlineLevel="0" collapsed="false">
      <c r="A3" s="4" t="s">
        <v>3</v>
      </c>
      <c r="B3" s="3" t="n">
        <v>2023</v>
      </c>
      <c r="C3" s="11" t="n">
        <v>25426</v>
      </c>
      <c r="D3" s="4" t="n">
        <f aca="false">(C3-C2)/C3*100</f>
        <v>14.0761425312672</v>
      </c>
      <c r="E3" s="11" t="n">
        <v>45725000</v>
      </c>
      <c r="F3" s="4" t="n">
        <f aca="false">(E3-E2)/E3*100</f>
        <v>53.5112083105522</v>
      </c>
      <c r="G3" s="16" t="n">
        <v>0.26</v>
      </c>
    </row>
    <row r="4" customFormat="false" ht="14.25" hidden="false" customHeight="true" outlineLevel="0" collapsed="false">
      <c r="A4" s="4" t="s">
        <v>3</v>
      </c>
      <c r="B4" s="3" t="n">
        <v>2024</v>
      </c>
      <c r="C4" s="11" t="n">
        <v>27467</v>
      </c>
      <c r="D4" s="4" t="n">
        <f aca="false">(C4-C3)/C4*100</f>
        <v>7.43073506389486</v>
      </c>
      <c r="E4" s="11" t="n">
        <v>51798000</v>
      </c>
      <c r="F4" s="4" t="n">
        <f aca="false">(E4-E3)/E4*100</f>
        <v>11.7243909031237</v>
      </c>
      <c r="G4" s="16" t="n">
        <v>0.63</v>
      </c>
    </row>
    <row r="5" customFormat="false" ht="14.25" hidden="false" customHeight="true" outlineLevel="0" collapsed="false">
      <c r="A5" s="4" t="s">
        <v>3</v>
      </c>
      <c r="B5" s="3" t="n">
        <v>2025</v>
      </c>
      <c r="C5" s="11" t="n">
        <v>28238</v>
      </c>
      <c r="D5" s="4" t="n">
        <f aca="false">(C5-C4)/C5*100</f>
        <v>2.7303633401799</v>
      </c>
      <c r="E5" s="11" t="n">
        <v>55901000</v>
      </c>
      <c r="F5" s="4" t="n">
        <f aca="false">(E5-E4)/E5*100</f>
        <v>7.33976136383965</v>
      </c>
      <c r="G5" s="16" t="n">
        <v>0.37</v>
      </c>
    </row>
    <row r="6" customFormat="false" ht="14.25" hidden="false" customHeight="true" outlineLevel="0" collapsed="false">
      <c r="A6" s="4" t="s">
        <v>4</v>
      </c>
      <c r="B6" s="3" t="n">
        <v>2022</v>
      </c>
      <c r="C6" s="11" t="n">
        <v>6000</v>
      </c>
      <c r="D6" s="4" t="s">
        <v>87</v>
      </c>
      <c r="E6" s="11" t="n">
        <v>10516851</v>
      </c>
      <c r="F6" s="4" t="s">
        <v>87</v>
      </c>
      <c r="G6" s="15" t="s">
        <v>87</v>
      </c>
    </row>
    <row r="7" customFormat="false" ht="14.25" hidden="false" customHeight="true" outlineLevel="0" collapsed="false">
      <c r="A7" s="4" t="s">
        <v>4</v>
      </c>
      <c r="B7" s="3" t="n">
        <v>2023</v>
      </c>
      <c r="C7" s="11" t="n">
        <v>7628</v>
      </c>
      <c r="D7" s="4" t="n">
        <f aca="false">(C7-C6)/C7*100</f>
        <v>21.3424226533823</v>
      </c>
      <c r="E7" s="11" t="n">
        <v>19300000</v>
      </c>
      <c r="F7" s="4" t="n">
        <f aca="false">(E7-E6)/E7*100</f>
        <v>45.5085440414508</v>
      </c>
      <c r="G7" s="16" t="n">
        <v>0.47</v>
      </c>
    </row>
    <row r="8" customFormat="false" ht="14.25" hidden="false" customHeight="true" outlineLevel="0" collapsed="false">
      <c r="A8" s="4" t="s">
        <v>4</v>
      </c>
      <c r="B8" s="3" t="n">
        <v>2024</v>
      </c>
      <c r="C8" s="11" t="n">
        <v>7800</v>
      </c>
      <c r="D8" s="4" t="n">
        <f aca="false">(C8-C7)/C8*100</f>
        <v>2.20512820512821</v>
      </c>
      <c r="E8" s="11" t="n">
        <v>19608800</v>
      </c>
      <c r="F8" s="4" t="n">
        <f aca="false">(E8-E7)/E8*100</f>
        <v>1.5748031496063</v>
      </c>
      <c r="G8" s="16" t="n">
        <v>1.4</v>
      </c>
    </row>
    <row r="9" customFormat="false" ht="14.25" hidden="false" customHeight="true" outlineLevel="0" collapsed="false">
      <c r="A9" s="4" t="s">
        <v>4</v>
      </c>
      <c r="B9" s="3" t="n">
        <v>2025</v>
      </c>
      <c r="C9" s="11" t="n">
        <v>8000</v>
      </c>
      <c r="D9" s="4" t="n">
        <f aca="false">(C9-C8)/C9*100</f>
        <v>2.5</v>
      </c>
      <c r="E9" s="11" t="n">
        <v>20700000</v>
      </c>
      <c r="F9" s="4" t="n">
        <f aca="false">(E9-E8)/E9*100</f>
        <v>5.27149758454106</v>
      </c>
      <c r="G9" s="16" t="n">
        <v>0.47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6" activeCellId="0" sqref="D2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1"/>
  </cols>
  <sheetData>
    <row r="1" customFormat="false" ht="27.75" hidden="false" customHeight="true" outlineLevel="0" collapsed="false">
      <c r="A1" s="2" t="s">
        <v>1</v>
      </c>
      <c r="B1" s="2" t="s">
        <v>0</v>
      </c>
      <c r="C1" s="2" t="s">
        <v>88</v>
      </c>
      <c r="D1" s="2" t="s">
        <v>89</v>
      </c>
    </row>
    <row r="2" customFormat="false" ht="14.25" hidden="false" customHeight="true" outlineLevel="0" collapsed="false">
      <c r="A2" s="4" t="s">
        <v>3</v>
      </c>
      <c r="B2" s="3" t="n">
        <v>2022</v>
      </c>
      <c r="C2" s="4" t="s">
        <v>90</v>
      </c>
      <c r="D2" s="3" t="n">
        <v>0</v>
      </c>
    </row>
    <row r="3" customFormat="false" ht="14.25" hidden="false" customHeight="true" outlineLevel="0" collapsed="false">
      <c r="A3" s="4" t="s">
        <v>3</v>
      </c>
      <c r="B3" s="3" t="n">
        <v>2023</v>
      </c>
      <c r="C3" s="4" t="s">
        <v>90</v>
      </c>
      <c r="D3" s="3" t="n">
        <v>0</v>
      </c>
    </row>
    <row r="4" customFormat="false" ht="14.25" hidden="false" customHeight="true" outlineLevel="0" collapsed="false">
      <c r="A4" s="4" t="s">
        <v>3</v>
      </c>
      <c r="B4" s="3" t="n">
        <v>2024</v>
      </c>
      <c r="C4" s="4" t="s">
        <v>90</v>
      </c>
      <c r="D4" s="3" t="n">
        <v>0</v>
      </c>
    </row>
    <row r="5" customFormat="false" ht="14.25" hidden="false" customHeight="true" outlineLevel="0" collapsed="false">
      <c r="A5" s="4" t="s">
        <v>3</v>
      </c>
      <c r="B5" s="3" t="n">
        <v>2025</v>
      </c>
      <c r="C5" s="4" t="s">
        <v>90</v>
      </c>
      <c r="D5" s="3" t="n">
        <v>0</v>
      </c>
    </row>
    <row r="6" customFormat="false" ht="15.75" hidden="false" customHeight="true" outlineLevel="0" collapsed="false">
      <c r="A6" s="4" t="s">
        <v>4</v>
      </c>
      <c r="B6" s="3" t="n">
        <v>2022</v>
      </c>
      <c r="C6" s="4" t="s">
        <v>91</v>
      </c>
      <c r="D6" s="3" t="n">
        <v>4</v>
      </c>
    </row>
    <row r="7" customFormat="false" ht="15.75" hidden="false" customHeight="true" outlineLevel="0" collapsed="false">
      <c r="A7" s="4" t="s">
        <v>4</v>
      </c>
      <c r="B7" s="3" t="n">
        <v>2023</v>
      </c>
      <c r="C7" s="4" t="s">
        <v>91</v>
      </c>
      <c r="D7" s="3" t="n">
        <v>5</v>
      </c>
    </row>
    <row r="8" customFormat="false" ht="15.75" hidden="false" customHeight="true" outlineLevel="0" collapsed="false">
      <c r="A8" s="4" t="s">
        <v>4</v>
      </c>
      <c r="B8" s="3" t="n">
        <v>2024</v>
      </c>
      <c r="C8" s="4" t="s">
        <v>91</v>
      </c>
      <c r="D8" s="3" t="n">
        <v>6</v>
      </c>
    </row>
    <row r="9" customFormat="false" ht="15.75" hidden="false" customHeight="true" outlineLevel="0" collapsed="false">
      <c r="A9" s="4" t="s">
        <v>4</v>
      </c>
      <c r="B9" s="3" t="n">
        <v>2025</v>
      </c>
      <c r="C9" s="4" t="s">
        <v>91</v>
      </c>
      <c r="D9" s="3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2" activeCellId="0" sqref="H2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"/>
  </cols>
  <sheetData>
    <row r="1" customFormat="false" ht="27.75" hidden="false" customHeight="true" outlineLevel="0" collapsed="false">
      <c r="A1" s="2" t="s">
        <v>1</v>
      </c>
      <c r="B1" s="2" t="s">
        <v>92</v>
      </c>
    </row>
    <row r="2" customFormat="false" ht="28.5" hidden="false" customHeight="true" outlineLevel="0" collapsed="false">
      <c r="A2" s="4" t="s">
        <v>4</v>
      </c>
      <c r="B2" s="3" t="n">
        <v>8</v>
      </c>
    </row>
    <row r="3" customFormat="false" ht="14.25" hidden="false" customHeight="true" outlineLevel="0" collapsed="false">
      <c r="A3" s="4" t="s">
        <v>3</v>
      </c>
      <c r="B3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5"/>
  </cols>
  <sheetData>
    <row r="1" customFormat="false" ht="30" hidden="false" customHeight="true" outlineLevel="0" collapsed="false">
      <c r="A1" s="17" t="s">
        <v>93</v>
      </c>
      <c r="B1" s="17"/>
      <c r="C1" s="17"/>
      <c r="D1" s="17"/>
      <c r="E1" s="17"/>
      <c r="F1" s="17"/>
    </row>
    <row r="2" customFormat="false" ht="14.25" hidden="false" customHeight="true" outlineLevel="0" collapsed="false">
      <c r="A2" s="18"/>
      <c r="B2" s="19"/>
    </row>
    <row r="3" customFormat="false" ht="21.75" hidden="false" customHeight="true" outlineLevel="0" collapsed="false">
      <c r="A3" s="20" t="s">
        <v>94</v>
      </c>
      <c r="B3" s="20" t="s">
        <v>95</v>
      </c>
    </row>
    <row r="4" customFormat="false" ht="26.25" hidden="false" customHeight="true" outlineLevel="0" collapsed="false">
      <c r="A4" s="21" t="s">
        <v>96</v>
      </c>
      <c r="B4" s="21" t="s">
        <v>97</v>
      </c>
    </row>
    <row r="5" customFormat="false" ht="14.25" hidden="false" customHeight="true" outlineLevel="0" collapsed="false">
      <c r="A5" s="21" t="s">
        <v>98</v>
      </c>
      <c r="B5" s="21" t="s">
        <v>99</v>
      </c>
    </row>
    <row r="6" customFormat="false" ht="14.25" hidden="false" customHeight="true" outlineLevel="0" collapsed="false">
      <c r="A6" s="21" t="s">
        <v>100</v>
      </c>
      <c r="B6" s="21" t="s">
        <v>101</v>
      </c>
    </row>
    <row r="7" customFormat="false" ht="14.25" hidden="false" customHeight="true" outlineLevel="0" collapsed="false">
      <c r="A7" s="21" t="s">
        <v>102</v>
      </c>
      <c r="B7" s="21" t="s">
        <v>103</v>
      </c>
    </row>
    <row r="8" customFormat="false" ht="14.25" hidden="false" customHeight="true" outlineLevel="0" collapsed="false">
      <c r="A8" s="21" t="s">
        <v>104</v>
      </c>
      <c r="B8" s="21" t="s">
        <v>105</v>
      </c>
    </row>
    <row r="9" customFormat="false" ht="14.25" hidden="false" customHeight="true" outlineLevel="0" collapsed="false">
      <c r="A9" s="21" t="s">
        <v>106</v>
      </c>
      <c r="B9" s="21" t="s">
        <v>107</v>
      </c>
    </row>
    <row r="10" customFormat="false" ht="14.25" hidden="false" customHeight="true" outlineLevel="0" collapsed="false">
      <c r="A10" s="18"/>
      <c r="B10" s="19"/>
    </row>
    <row r="11" customFormat="false" ht="21.75" hidden="false" customHeight="true" outlineLevel="0" collapsed="false">
      <c r="A11" s="20" t="s">
        <v>108</v>
      </c>
      <c r="B11" s="22"/>
    </row>
    <row r="12" customFormat="false" ht="14.25" hidden="false" customHeight="true" outlineLevel="0" collapsed="false">
      <c r="A12" s="21" t="s">
        <v>109</v>
      </c>
      <c r="B12" s="21" t="s">
        <v>110</v>
      </c>
    </row>
    <row r="13" customFormat="false" ht="14.25" hidden="false" customHeight="true" outlineLevel="0" collapsed="false">
      <c r="A13" s="21" t="s">
        <v>6</v>
      </c>
      <c r="B13" s="21" t="s">
        <v>111</v>
      </c>
    </row>
    <row r="14" customFormat="false" ht="14.25" hidden="false" customHeight="true" outlineLevel="0" collapsed="false">
      <c r="A14" s="21" t="s">
        <v>112</v>
      </c>
      <c r="B14" s="21" t="s">
        <v>113</v>
      </c>
    </row>
    <row r="15" customFormat="false" ht="14.25" hidden="false" customHeight="true" outlineLevel="0" collapsed="false">
      <c r="A15" s="21" t="s">
        <v>80</v>
      </c>
      <c r="B15" s="21" t="s">
        <v>114</v>
      </c>
    </row>
    <row r="16" customFormat="false" ht="14.25" hidden="false" customHeight="true" outlineLevel="0" collapsed="false">
      <c r="A16" s="21" t="s">
        <v>81</v>
      </c>
      <c r="B16" s="21" t="s">
        <v>115</v>
      </c>
    </row>
    <row r="17" customFormat="false" ht="14.25" hidden="false" customHeight="true" outlineLevel="0" collapsed="false">
      <c r="A17" s="21" t="s">
        <v>86</v>
      </c>
      <c r="B17" s="21" t="s">
        <v>116</v>
      </c>
    </row>
    <row r="18" customFormat="false" ht="14.25" hidden="false" customHeight="true" outlineLevel="0" collapsed="false">
      <c r="A18" s="21" t="s">
        <v>117</v>
      </c>
      <c r="B18" s="21" t="s">
        <v>118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2026-06-02T05:43:30Z</dcterms:created>
  <dc:creator>openpyxl</dc:creator>
  <dc:description/>
  <dc:language>en-US</dc:language>
  <cp:lastModifiedBy>Md. Soad Solaiman</cp:lastModifiedBy>
  <dcterms:modified xsi:type="dcterms:W3CDTF">2026-07-26T00:01:38Z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